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i1022_ic_ac_uk/Documents/MSci/github/Electricity_Sharing_MSci_Project/analysis/"/>
    </mc:Choice>
  </mc:AlternateContent>
  <xr:revisionPtr revIDLastSave="41" documentId="8_{DD308E75-A5D0-40FE-96EB-5FF1D795872C}" xr6:coauthVersionLast="47" xr6:coauthVersionMax="47" xr10:uidLastSave="{A19E9A91-89BD-44A7-8707-852EA9E434D9}"/>
  <bookViews>
    <workbookView xWindow="-108" yWindow="-108" windowWidth="23256" windowHeight="12456" xr2:uid="{FFAD42A8-CAFB-407D-945C-6EF90955F50D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7" i="1"/>
  <c r="N3" i="1"/>
  <c r="N6" i="1"/>
  <c r="N7" i="1" s="1"/>
  <c r="L6" i="1"/>
  <c r="K6" i="1"/>
  <c r="B2" i="1"/>
  <c r="G3" i="1" s="1"/>
  <c r="G6" i="1"/>
  <c r="F6" i="1"/>
  <c r="F7" i="1" s="1"/>
  <c r="M4" i="1"/>
  <c r="F3" i="1"/>
  <c r="M6" i="1" l="1"/>
  <c r="G7" i="1"/>
</calcChain>
</file>

<file path=xl/sharedStrings.xml><?xml version="1.0" encoding="utf-8"?>
<sst xmlns="http://schemas.openxmlformats.org/spreadsheetml/2006/main" count="19" uniqueCount="19">
  <si>
    <t>Total Solar Capacity (kW)</t>
  </si>
  <si>
    <t>Total Battery Capacity (kWh)</t>
  </si>
  <si>
    <t>Total Diesel Generator Capacity (kW)</t>
  </si>
  <si>
    <t>Total Edge Length (km)</t>
  </si>
  <si>
    <t>Cost of Solar Panels ($)</t>
  </si>
  <si>
    <t>Cost of Batteries ($)</t>
  </si>
  <si>
    <t>Cost of Diesel Fuel ($)</t>
  </si>
  <si>
    <t>Cost of Diesel Generators ($)</t>
  </si>
  <si>
    <t>Cost of Edges ($)</t>
  </si>
  <si>
    <t>Cost of Hydro ($)</t>
  </si>
  <si>
    <t>Cost of Converters ($)</t>
  </si>
  <si>
    <t>Total Economic Cost ($)</t>
  </si>
  <si>
    <t>Energy Produced by Solar Panels (kWh)</t>
  </si>
  <si>
    <t>Energy Stored in Batteries (kWh)</t>
  </si>
  <si>
    <t>Energy Produced by Diesel Generators (kWh)</t>
  </si>
  <si>
    <t>Total Emissions (kg CO2)</t>
  </si>
  <si>
    <t>Case Study</t>
  </si>
  <si>
    <t>Converter Size (kWh)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</si>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</sst>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ED0B-9001-4082-B714-4712ED0CE04E}">
  <dimension ref="A1:Q7"/>
  <sheetViews>
    <sheetView tabSelected="1" topLeftCell="B1" zoomScale="122" workbookViewId="0">
      <selection activeCell="L4" sqref="L4"/>
    </sheetView>
  </sheetViews>
  <sheetFormatPr defaultRowHeight="14.4" x14ac:dyDescent="0.3"/>
  <cols>
    <col min="1" max="2" width="9.21875" bestFit="1" customWidth="1"/>
    <col min="3" max="3" width="9.21875" customWidth="1"/>
    <col min="4" max="4" width="12.44140625" bestFit="1" customWidth="1"/>
    <col min="5" max="5" width="9.21875" bestFit="1" customWidth="1"/>
    <col min="6" max="6" width="10.5546875" bestFit="1" customWidth="1"/>
    <col min="7" max="7" width="11" bestFit="1" customWidth="1"/>
    <col min="8" max="8" width="13.21875" bestFit="1" customWidth="1"/>
    <col min="9" max="9" width="13.33203125" bestFit="1" customWidth="1"/>
    <col min="10" max="10" width="11.77734375" bestFit="1" customWidth="1"/>
    <col min="11" max="11" width="12.5546875" bestFit="1" customWidth="1"/>
    <col min="12" max="13" width="13.33203125" bestFit="1" customWidth="1"/>
    <col min="14" max="14" width="13" bestFit="1" customWidth="1"/>
    <col min="15" max="15" width="13.33203125" bestFit="1" customWidth="1"/>
    <col min="16" max="17" width="11.77734375" bestFit="1" customWidth="1"/>
  </cols>
  <sheetData>
    <row r="1" spans="1:17" s="1" customFormat="1" ht="72" x14ac:dyDescent="0.3">
      <c r="A1" s="1" t="s">
        <v>0</v>
      </c>
      <c r="B1" s="1" t="s">
        <v>1</v>
      </c>
      <c r="C1" t="s">
        <v>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1" customFormat="1" x14ac:dyDescent="0.3">
      <c r="A2" s="1">
        <v>166</v>
      </c>
      <c r="B2" s="1">
        <f>119/0.8</f>
        <v>148.75</v>
      </c>
      <c r="C2">
        <v>171.476912312693</v>
      </c>
      <c r="D2" s="1">
        <v>70.936191418024094</v>
      </c>
      <c r="E2" s="1">
        <v>0</v>
      </c>
      <c r="F2" s="1">
        <v>179070.84</v>
      </c>
      <c r="G2" s="1">
        <v>53487.525000000001</v>
      </c>
      <c r="H2" s="1">
        <v>63947.602947583997</v>
      </c>
      <c r="I2" s="1">
        <v>29978.254068766499</v>
      </c>
      <c r="J2" s="1">
        <v>134693.87803075599</v>
      </c>
      <c r="K2" s="1">
        <v>114730.658464842</v>
      </c>
      <c r="L2" s="1">
        <v>61659.6681293984</v>
      </c>
      <c r="M2" s="1">
        <v>550442.80352631002</v>
      </c>
      <c r="N2" s="1">
        <v>544.49303132774105</v>
      </c>
      <c r="O2" s="1">
        <v>69.756326770998697</v>
      </c>
      <c r="P2" s="1">
        <v>297.24559687105102</v>
      </c>
      <c r="Q2" s="1">
        <v>484133.48463620001</v>
      </c>
    </row>
    <row r="3" spans="1:17" x14ac:dyDescent="0.3">
      <c r="F3">
        <f>F2/A2</f>
        <v>1078.74</v>
      </c>
      <c r="G3">
        <f>G2/B2</f>
        <v>359.58</v>
      </c>
      <c r="L3">
        <f>L2/C2</f>
        <v>359.58000000000146</v>
      </c>
      <c r="M3" t="s">
        <v>18</v>
      </c>
      <c r="N3">
        <f>N2/A2</f>
        <v>3.2800785019743435</v>
      </c>
    </row>
    <row r="4" spans="1:17" x14ac:dyDescent="0.3">
      <c r="M4">
        <f>F2+G2+J2+K2+L2</f>
        <v>543642.56962499639</v>
      </c>
    </row>
    <row r="5" spans="1:17" x14ac:dyDescent="0.3">
      <c r="A5" t="s">
        <v>16</v>
      </c>
    </row>
    <row r="6" spans="1:17" x14ac:dyDescent="0.3">
      <c r="A6">
        <v>134</v>
      </c>
      <c r="B6">
        <v>98</v>
      </c>
      <c r="C6">
        <v>91.45</v>
      </c>
      <c r="F6">
        <f>120493+23939</f>
        <v>144432</v>
      </c>
      <c r="G6">
        <f>29400+5841</f>
        <v>35241</v>
      </c>
      <c r="K6">
        <f>88200+26285</f>
        <v>114485</v>
      </c>
      <c r="L6">
        <f>27435+5451</f>
        <v>32886</v>
      </c>
      <c r="M6">
        <f>L6+K6+G6+F6</f>
        <v>327044</v>
      </c>
      <c r="N6">
        <f>240.9/365*1000</f>
        <v>660</v>
      </c>
    </row>
    <row r="7" spans="1:17" x14ac:dyDescent="0.3">
      <c r="F7">
        <f>F6/A6</f>
        <v>1077.8507462686566</v>
      </c>
      <c r="G7">
        <f>G6/B6</f>
        <v>359.60204081632651</v>
      </c>
      <c r="L7">
        <f>L6/C6</f>
        <v>359.60634226353199</v>
      </c>
      <c r="N7">
        <f>N6/A6</f>
        <v>4.9253731343283578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Irakleous, Andreas</cp:lastModifiedBy>
  <dcterms:created xsi:type="dcterms:W3CDTF">2026-04-19T13:52:49Z</dcterms:created>
  <dcterms:modified xsi:type="dcterms:W3CDTF">2026-04-20T09:44:44Z</dcterms:modified>
</cp:coreProperties>
</file>